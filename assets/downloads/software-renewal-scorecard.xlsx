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15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6" customWidth="1" min="4" max="4"/>
    <col width="33" customWidth="1" min="5" max="5"/>
    <col width="14" customWidth="1" min="6" max="6"/>
    <col width="24" customWidth="1" min="7" max="7"/>
    <col width="29" customWidth="1" min="8" max="8"/>
    <col width="34" customWidth="1" min="9" max="9"/>
    <col width="34" customWidth="1" min="10" max="10"/>
    <col width="34" customWidth="1" min="11" max="11"/>
    <col width="34" customWidth="1" min="12" max="12"/>
    <col width="3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Software renewal scorecard</t>
        </is>
      </c>
    </row>
    <row r="2">
      <c r="A2" t="inlineStr">
        <is>
          <t>Circuit &amp; Capital, circuits.fit. Free to use and adapt. Not legal, tax, insurance or procurement advice.</t>
        </is>
      </c>
    </row>
    <row r="3">
      <c r="A3" t="inlineStr">
        <is>
          <t>Scoring follows circuits.fit/tools/software-renewal-scorecard.html. 0 points = Keep, 1-7 = Renegotiate, 8+ = Replace. No full export AND no exit clause = Replace regardless of total.</t>
        </is>
      </c>
    </row>
    <row r="5">
      <c r="A5" s="2" t="inlineStr">
        <is>
          <t>Product</t>
        </is>
      </c>
      <c r="B5" s="2" t="inlineStr">
        <is>
          <t>Annual cost</t>
        </is>
      </c>
      <c r="C5" s="2" t="inlineStr">
        <is>
          <t>Seats paid</t>
        </is>
      </c>
      <c r="D5" s="2" t="inlineStr">
        <is>
          <t>Seats active (30 days)</t>
        </is>
      </c>
      <c r="E5" s="2" t="inlineStr">
        <is>
          <t>Price-up cap (Yes/No/Unknown)</t>
        </is>
      </c>
      <c r="F5" s="2" t="inlineStr">
        <is>
          <t>Cap %</t>
        </is>
      </c>
      <c r="G5" s="2" t="inlineStr">
        <is>
          <t>Notice period (days)</t>
        </is>
      </c>
      <c r="H5" s="2" t="inlineStr">
        <is>
          <t>Data-return window (days)</t>
        </is>
      </c>
      <c r="I5" s="2" t="inlineStr">
        <is>
          <t>Can export all data (Yes/No/Unknown)</t>
        </is>
      </c>
      <c r="J5" s="2" t="inlineStr">
        <is>
          <t>SBOM on request (Yes/No/Unknown)</t>
        </is>
      </c>
      <c r="K5" s="2" t="inlineStr">
        <is>
          <t>AI training (Opt-in/Opt-out/Unknown/N/A)</t>
        </is>
      </c>
      <c r="L5" s="2" t="inlineStr">
        <is>
          <t>Subprocessors listed (Yes/No/Unknown)</t>
        </is>
      </c>
      <c r="M5" s="2" t="inlineStr">
        <is>
          <t>Exit clause (Yes/No/Unknown)</t>
        </is>
      </c>
      <c r="N5" s="2" t="inlineStr">
        <is>
          <t>Seat use %</t>
        </is>
      </c>
      <c r="O5" s="2" t="inlineStr">
        <is>
          <t>Points</t>
        </is>
      </c>
      <c r="P5" s="2" t="inlineStr">
        <is>
          <t>Decision</t>
        </is>
      </c>
    </row>
    <row r="6">
      <c r="A6" t="inlineStr">
        <is>
          <t>CRM A</t>
        </is>
      </c>
      <c r="B6" s="3" t="n">
        <v>48000</v>
      </c>
      <c r="C6" t="n">
        <v>120</v>
      </c>
      <c r="D6" t="n">
        <v>64</v>
      </c>
      <c r="E6" t="inlineStr">
        <is>
          <t>No</t>
        </is>
      </c>
      <c r="F6" t="inlineStr"/>
      <c r="G6" t="n">
        <v>30</v>
      </c>
      <c r="H6" t="n">
        <v>14</v>
      </c>
      <c r="I6" t="inlineStr">
        <is>
          <t>Unknown</t>
        </is>
      </c>
      <c r="J6" t="inlineStr">
        <is>
          <t>Unknown</t>
        </is>
      </c>
      <c r="K6" t="inlineStr">
        <is>
          <t>Opt-out</t>
        </is>
      </c>
      <c r="L6" t="inlineStr">
        <is>
          <t>Yes</t>
        </is>
      </c>
      <c r="M6" t="inlineStr">
        <is>
          <t>No</t>
        </is>
      </c>
      <c r="N6" s="4">
        <f>IF(OR(A6="",C6=0),"",D6/C6)</f>
        <v/>
      </c>
      <c r="O6">
        <f>IF(A6="","",IF(N6&lt;0.6,2,0)+IF(E6="Yes",0,2)+IF(G6&lt;30,2,0)+IF(H6&lt;30,1,0)+IF(I6="No",2,IF(I6="Unknown",1,0))+IF(J6="No",2,IF(J6="Unknown",1,0))+IF(K6="Unknown",2,IF(K6="Opt-out",1,0))+IF(L6="No",2,IF(L6="Unknown",1,0))+IF(M6="No",2,IF(M6="Unknown",1,0)))</f>
        <v/>
      </c>
      <c r="P6">
        <f>IF(A6="","",IF(AND(I6="No",M6="No"),"Replace",IF(O6&gt;=8,"Replace",IF(O6&gt;=1,"Renegotiate","Keep"))))</f>
        <v/>
      </c>
    </row>
    <row r="7">
      <c r="A7" t="inlineStr">
        <is>
          <t>Design tool B</t>
        </is>
      </c>
      <c r="B7" s="3" t="n">
        <v>9600</v>
      </c>
      <c r="C7" t="n">
        <v>40</v>
      </c>
      <c r="D7" t="n">
        <v>37</v>
      </c>
      <c r="E7" t="inlineStr">
        <is>
          <t>Yes</t>
        </is>
      </c>
      <c r="F7" t="n">
        <v>5</v>
      </c>
      <c r="G7" t="n">
        <v>60</v>
      </c>
      <c r="H7" t="n">
        <v>30</v>
      </c>
      <c r="I7" t="inlineStr">
        <is>
          <t>Yes</t>
        </is>
      </c>
      <c r="J7" t="inlineStr">
        <is>
          <t>Yes</t>
        </is>
      </c>
      <c r="K7" t="inlineStr">
        <is>
          <t>Opt-in</t>
        </is>
      </c>
      <c r="L7" t="inlineStr">
        <is>
          <t>Yes</t>
        </is>
      </c>
      <c r="M7" t="inlineStr">
        <is>
          <t>Yes</t>
        </is>
      </c>
      <c r="N7" s="4">
        <f>IF(OR(A7="",C7=0),"",D7/C7)</f>
        <v/>
      </c>
      <c r="O7">
        <f>IF(A7="","",IF(N7&lt;0.6,2,0)+IF(E7="Yes",0,2)+IF(G7&lt;30,2,0)+IF(H7&lt;30,1,0)+IF(I7="No",2,IF(I7="Unknown",1,0))+IF(J7="No",2,IF(J7="Unknown",1,0))+IF(K7="Unknown",2,IF(K7="Opt-out",1,0))+IF(L7="No",2,IF(L7="Unknown",1,0))+IF(M7="No",2,IF(M7="Unknown",1,0)))</f>
        <v/>
      </c>
      <c r="P7">
        <f>IF(A7="","",IF(AND(I7="No",M7="No"),"Replace",IF(O7&gt;=8,"Replace",IF(O7&gt;=1,"Renegotiate","Keep"))))</f>
        <v/>
      </c>
    </row>
    <row r="8">
      <c r="B8" s="3" t="n"/>
      <c r="N8" s="4">
        <f>IF(OR(A8="",C8=0),"",D8/C8)</f>
        <v/>
      </c>
      <c r="O8">
        <f>IF(A8="","",IF(N8&lt;0.6,2,0)+IF(E8="Yes",0,2)+IF(G8&lt;30,2,0)+IF(H8&lt;30,1,0)+IF(I8="No",2,IF(I8="Unknown",1,0))+IF(J8="No",2,IF(J8="Unknown",1,0))+IF(K8="Unknown",2,IF(K8="Opt-out",1,0))+IF(L8="No",2,IF(L8="Unknown",1,0))+IF(M8="No",2,IF(M8="Unknown",1,0)))</f>
        <v/>
      </c>
      <c r="P8">
        <f>IF(A8="","",IF(AND(I8="No",M8="No"),"Replace",IF(O8&gt;=8,"Replace",IF(O8&gt;=1,"Renegotiate","Keep"))))</f>
        <v/>
      </c>
    </row>
    <row r="9">
      <c r="B9" s="3" t="n"/>
      <c r="N9" s="4">
        <f>IF(OR(A9="",C9=0),"",D9/C9)</f>
        <v/>
      </c>
      <c r="O9">
        <f>IF(A9="","",IF(N9&lt;0.6,2,0)+IF(E9="Yes",0,2)+IF(G9&lt;30,2,0)+IF(H9&lt;30,1,0)+IF(I9="No",2,IF(I9="Unknown",1,0))+IF(J9="No",2,IF(J9="Unknown",1,0))+IF(K9="Unknown",2,IF(K9="Opt-out",1,0))+IF(L9="No",2,IF(L9="Unknown",1,0))+IF(M9="No",2,IF(M9="Unknown",1,0)))</f>
        <v/>
      </c>
      <c r="P9">
        <f>IF(A9="","",IF(AND(I9="No",M9="No"),"Replace",IF(O9&gt;=8,"Replace",IF(O9&gt;=1,"Renegotiate","Keep"))))</f>
        <v/>
      </c>
    </row>
    <row r="10">
      <c r="B10" s="3" t="n"/>
      <c r="N10" s="4">
        <f>IF(OR(A10="",C10=0),"",D10/C10)</f>
        <v/>
      </c>
      <c r="O10">
        <f>IF(A10="","",IF(N10&lt;0.6,2,0)+IF(E10="Yes",0,2)+IF(G10&lt;30,2,0)+IF(H10&lt;30,1,0)+IF(I10="No",2,IF(I10="Unknown",1,0))+IF(J10="No",2,IF(J10="Unknown",1,0))+IF(K10="Unknown",2,IF(K10="Opt-out",1,0))+IF(L10="No",2,IF(L10="Unknown",1,0))+IF(M10="No",2,IF(M10="Unknown",1,0)))</f>
        <v/>
      </c>
      <c r="P10">
        <f>IF(A10="","",IF(AND(I10="No",M10="No"),"Replace",IF(O10&gt;=8,"Replace",IF(O10&gt;=1,"Renegotiate","Keep"))))</f>
        <v/>
      </c>
    </row>
    <row r="11">
      <c r="B11" s="3" t="n"/>
      <c r="N11" s="4">
        <f>IF(OR(A11="",C11=0),"",D11/C11)</f>
        <v/>
      </c>
      <c r="O11">
        <f>IF(A11="","",IF(N11&lt;0.6,2,0)+IF(E11="Yes",0,2)+IF(G11&lt;30,2,0)+IF(H11&lt;30,1,0)+IF(I11="No",2,IF(I11="Unknown",1,0))+IF(J11="No",2,IF(J11="Unknown",1,0))+IF(K11="Unknown",2,IF(K11="Opt-out",1,0))+IF(L11="No",2,IF(L11="Unknown",1,0))+IF(M11="No",2,IF(M11="Unknown",1,0)))</f>
        <v/>
      </c>
      <c r="P11">
        <f>IF(A11="","",IF(AND(I11="No",M11="No"),"Replace",IF(O11&gt;=8,"Replace",IF(O11&gt;=1,"Renegotiate","Keep"))))</f>
        <v/>
      </c>
    </row>
    <row r="12">
      <c r="B12" s="3" t="n"/>
      <c r="N12" s="4">
        <f>IF(OR(A12="",C12=0),"",D12/C12)</f>
        <v/>
      </c>
      <c r="O12">
        <f>IF(A12="","",IF(N12&lt;0.6,2,0)+IF(E12="Yes",0,2)+IF(G12&lt;30,2,0)+IF(H12&lt;30,1,0)+IF(I12="No",2,IF(I12="Unknown",1,0))+IF(J12="No",2,IF(J12="Unknown",1,0))+IF(K12="Unknown",2,IF(K12="Opt-out",1,0))+IF(L12="No",2,IF(L12="Unknown",1,0))+IF(M12="No",2,IF(M12="Unknown",1,0)))</f>
        <v/>
      </c>
      <c r="P12">
        <f>IF(A12="","",IF(AND(I12="No",M12="No"),"Replace",IF(O12&gt;=8,"Replace",IF(O12&gt;=1,"Renegotiate","Keep"))))</f>
        <v/>
      </c>
    </row>
    <row r="13">
      <c r="B13" s="3" t="n"/>
      <c r="N13" s="4">
        <f>IF(OR(A13="",C13=0),"",D13/C13)</f>
        <v/>
      </c>
      <c r="O13">
        <f>IF(A13="","",IF(N13&lt;0.6,2,0)+IF(E13="Yes",0,2)+IF(G13&lt;30,2,0)+IF(H13&lt;30,1,0)+IF(I13="No",2,IF(I13="Unknown",1,0))+IF(J13="No",2,IF(J13="Unknown",1,0))+IF(K13="Unknown",2,IF(K13="Opt-out",1,0))+IF(L13="No",2,IF(L13="Unknown",1,0))+IF(M13="No",2,IF(M13="Unknown",1,0)))</f>
        <v/>
      </c>
      <c r="P13">
        <f>IF(A13="","",IF(AND(I13="No",M13="No"),"Replace",IF(O13&gt;=8,"Replace",IF(O13&gt;=1,"Renegotiate","Keep"))))</f>
        <v/>
      </c>
    </row>
    <row r="14">
      <c r="B14" s="3" t="n"/>
      <c r="N14" s="4">
        <f>IF(OR(A14="",C14=0),"",D14/C14)</f>
        <v/>
      </c>
      <c r="O14">
        <f>IF(A14="","",IF(N14&lt;0.6,2,0)+IF(E14="Yes",0,2)+IF(G14&lt;30,2,0)+IF(H14&lt;30,1,0)+IF(I14="No",2,IF(I14="Unknown",1,0))+IF(J14="No",2,IF(J14="Unknown",1,0))+IF(K14="Unknown",2,IF(K14="Opt-out",1,0))+IF(L14="No",2,IF(L14="Unknown",1,0))+IF(M14="No",2,IF(M14="Unknown",1,0)))</f>
        <v/>
      </c>
      <c r="P14">
        <f>IF(A14="","",IF(AND(I14="No",M14="No"),"Replace",IF(O14&gt;=8,"Replace",IF(O14&gt;=1,"Renegotiate","Keep"))))</f>
        <v/>
      </c>
    </row>
    <row r="15">
      <c r="B15" s="3" t="n"/>
      <c r="N15" s="4">
        <f>IF(OR(A15="",C15=0),"",D15/C15)</f>
        <v/>
      </c>
      <c r="O15">
        <f>IF(A15="","",IF(N15&lt;0.6,2,0)+IF(E15="Yes",0,2)+IF(G15&lt;30,2,0)+IF(H15&lt;30,1,0)+IF(I15="No",2,IF(I15="Unknown",1,0))+IF(J15="No",2,IF(J15="Unknown",1,0))+IF(K15="Unknown",2,IF(K15="Opt-out",1,0))+IF(L15="No",2,IF(L15="Unknown",1,0))+IF(M15="No",2,IF(M15="Unknown",1,0)))</f>
        <v/>
      </c>
      <c r="P15">
        <f>IF(A15="","",IF(AND(I15="No",M15="No"),"Replace",IF(O15&gt;=8,"Replace",IF(O15&gt;=1,"Renegotiate","Keep"))))</f>
        <v/>
      </c>
    </row>
    <row r="16">
      <c r="B16" s="3" t="n"/>
      <c r="N16" s="4">
        <f>IF(OR(A16="",C16=0),"",D16/C16)</f>
        <v/>
      </c>
      <c r="O16">
        <f>IF(A16="","",IF(N16&lt;0.6,2,0)+IF(E16="Yes",0,2)+IF(G16&lt;30,2,0)+IF(H16&lt;30,1,0)+IF(I16="No",2,IF(I16="Unknown",1,0))+IF(J16="No",2,IF(J16="Unknown",1,0))+IF(K16="Unknown",2,IF(K16="Opt-out",1,0))+IF(L16="No",2,IF(L16="Unknown",1,0))+IF(M16="No",2,IF(M16="Unknown",1,0)))</f>
        <v/>
      </c>
      <c r="P16">
        <f>IF(A16="","",IF(AND(I16="No",M16="No"),"Replace",IF(O16&gt;=8,"Replace",IF(O16&gt;=1,"Renegotiate","Keep"))))</f>
        <v/>
      </c>
    </row>
    <row r="17">
      <c r="B17" s="3" t="n"/>
      <c r="N17" s="4">
        <f>IF(OR(A17="",C17=0),"",D17/C17)</f>
        <v/>
      </c>
      <c r="O17">
        <f>IF(A17="","",IF(N17&lt;0.6,2,0)+IF(E17="Yes",0,2)+IF(G17&lt;30,2,0)+IF(H17&lt;30,1,0)+IF(I17="No",2,IF(I17="Unknown",1,0))+IF(J17="No",2,IF(J17="Unknown",1,0))+IF(K17="Unknown",2,IF(K17="Opt-out",1,0))+IF(L17="No",2,IF(L17="Unknown",1,0))+IF(M17="No",2,IF(M17="Unknown",1,0)))</f>
        <v/>
      </c>
      <c r="P17">
        <f>IF(A17="","",IF(AND(I17="No",M17="No"),"Replace",IF(O17&gt;=8,"Replace",IF(O17&gt;=1,"Renegotiate","Keep"))))</f>
        <v/>
      </c>
    </row>
    <row r="18">
      <c r="B18" s="3" t="n"/>
      <c r="N18" s="4">
        <f>IF(OR(A18="",C18=0),"",D18/C18)</f>
        <v/>
      </c>
      <c r="O18">
        <f>IF(A18="","",IF(N18&lt;0.6,2,0)+IF(E18="Yes",0,2)+IF(G18&lt;30,2,0)+IF(H18&lt;30,1,0)+IF(I18="No",2,IF(I18="Unknown",1,0))+IF(J18="No",2,IF(J18="Unknown",1,0))+IF(K18="Unknown",2,IF(K18="Opt-out",1,0))+IF(L18="No",2,IF(L18="Unknown",1,0))+IF(M18="No",2,IF(M18="Unknown",1,0)))</f>
        <v/>
      </c>
      <c r="P18">
        <f>IF(A18="","",IF(AND(I18="No",M18="No"),"Replace",IF(O18&gt;=8,"Replace",IF(O18&gt;=1,"Renegotiate","Keep"))))</f>
        <v/>
      </c>
    </row>
    <row r="19">
      <c r="B19" s="3" t="n"/>
      <c r="N19" s="4">
        <f>IF(OR(A19="",C19=0),"",D19/C19)</f>
        <v/>
      </c>
      <c r="O19">
        <f>IF(A19="","",IF(N19&lt;0.6,2,0)+IF(E19="Yes",0,2)+IF(G19&lt;30,2,0)+IF(H19&lt;30,1,0)+IF(I19="No",2,IF(I19="Unknown",1,0))+IF(J19="No",2,IF(J19="Unknown",1,0))+IF(K19="Unknown",2,IF(K19="Opt-out",1,0))+IF(L19="No",2,IF(L19="Unknown",1,0))+IF(M19="No",2,IF(M19="Unknown",1,0)))</f>
        <v/>
      </c>
      <c r="P19">
        <f>IF(A19="","",IF(AND(I19="No",M19="No"),"Replace",IF(O19&gt;=8,"Replace",IF(O19&gt;=1,"Renegotiate","Keep"))))</f>
        <v/>
      </c>
    </row>
    <row r="20">
      <c r="B20" s="3" t="n"/>
      <c r="N20" s="4">
        <f>IF(OR(A20="",C20=0),"",D20/C20)</f>
        <v/>
      </c>
      <c r="O20">
        <f>IF(A20="","",IF(N20&lt;0.6,2,0)+IF(E20="Yes",0,2)+IF(G20&lt;30,2,0)+IF(H20&lt;30,1,0)+IF(I20="No",2,IF(I20="Unknown",1,0))+IF(J20="No",2,IF(J20="Unknown",1,0))+IF(K20="Unknown",2,IF(K20="Opt-out",1,0))+IF(L20="No",2,IF(L20="Unknown",1,0))+IF(M20="No",2,IF(M20="Unknown",1,0)))</f>
        <v/>
      </c>
      <c r="P20">
        <f>IF(A20="","",IF(AND(I20="No",M20="No"),"Replace",IF(O20&gt;=8,"Replace",IF(O20&gt;=1,"Renegotiate","Keep"))))</f>
        <v/>
      </c>
    </row>
    <row r="21">
      <c r="B21" s="3" t="n"/>
      <c r="N21" s="4">
        <f>IF(OR(A21="",C21=0),"",D21/C21)</f>
        <v/>
      </c>
      <c r="O21">
        <f>IF(A21="","",IF(N21&lt;0.6,2,0)+IF(E21="Yes",0,2)+IF(G21&lt;30,2,0)+IF(H21&lt;30,1,0)+IF(I21="No",2,IF(I21="Unknown",1,0))+IF(J21="No",2,IF(J21="Unknown",1,0))+IF(K21="Unknown",2,IF(K21="Opt-out",1,0))+IF(L21="No",2,IF(L21="Unknown",1,0))+IF(M21="No",2,IF(M21="Unknown",1,0)))</f>
        <v/>
      </c>
      <c r="P21">
        <f>IF(A21="","",IF(AND(I21="No",M21="No"),"Replace",IF(O21&gt;=8,"Replace",IF(O21&gt;=1,"Renegotiate","Keep"))))</f>
        <v/>
      </c>
    </row>
    <row r="22">
      <c r="B22" s="3" t="n"/>
      <c r="N22" s="4">
        <f>IF(OR(A22="",C22=0),"",D22/C22)</f>
        <v/>
      </c>
      <c r="O22">
        <f>IF(A22="","",IF(N22&lt;0.6,2,0)+IF(E22="Yes",0,2)+IF(G22&lt;30,2,0)+IF(H22&lt;30,1,0)+IF(I22="No",2,IF(I22="Unknown",1,0))+IF(J22="No",2,IF(J22="Unknown",1,0))+IF(K22="Unknown",2,IF(K22="Opt-out",1,0))+IF(L22="No",2,IF(L22="Unknown",1,0))+IF(M22="No",2,IF(M22="Unknown",1,0)))</f>
        <v/>
      </c>
      <c r="P22">
        <f>IF(A22="","",IF(AND(I22="No",M22="No"),"Replace",IF(O22&gt;=8,"Replace",IF(O22&gt;=1,"Renegotiate","Keep"))))</f>
        <v/>
      </c>
    </row>
    <row r="23">
      <c r="B23" s="3" t="n"/>
      <c r="N23" s="4">
        <f>IF(OR(A23="",C23=0),"",D23/C23)</f>
        <v/>
      </c>
      <c r="O23">
        <f>IF(A23="","",IF(N23&lt;0.6,2,0)+IF(E23="Yes",0,2)+IF(G23&lt;30,2,0)+IF(H23&lt;30,1,0)+IF(I23="No",2,IF(I23="Unknown",1,0))+IF(J23="No",2,IF(J23="Unknown",1,0))+IF(K23="Unknown",2,IF(K23="Opt-out",1,0))+IF(L23="No",2,IF(L23="Unknown",1,0))+IF(M23="No",2,IF(M23="Unknown",1,0)))</f>
        <v/>
      </c>
      <c r="P23">
        <f>IF(A23="","",IF(AND(I23="No",M23="No"),"Replace",IF(O23&gt;=8,"Replace",IF(O23&gt;=1,"Renegotiate","Keep"))))</f>
        <v/>
      </c>
    </row>
    <row r="24">
      <c r="B24" s="3" t="n"/>
      <c r="N24" s="4">
        <f>IF(OR(A24="",C24=0),"",D24/C24)</f>
        <v/>
      </c>
      <c r="O24">
        <f>IF(A24="","",IF(N24&lt;0.6,2,0)+IF(E24="Yes",0,2)+IF(G24&lt;30,2,0)+IF(H24&lt;30,1,0)+IF(I24="No",2,IF(I24="Unknown",1,0))+IF(J24="No",2,IF(J24="Unknown",1,0))+IF(K24="Unknown",2,IF(K24="Opt-out",1,0))+IF(L24="No",2,IF(L24="Unknown",1,0))+IF(M24="No",2,IF(M24="Unknown",1,0)))</f>
        <v/>
      </c>
      <c r="P24">
        <f>IF(A24="","",IF(AND(I24="No",M24="No"),"Replace",IF(O24&gt;=8,"Replace",IF(O24&gt;=1,"Renegotiate","Keep"))))</f>
        <v/>
      </c>
    </row>
    <row r="25">
      <c r="B25" s="3" t="n"/>
      <c r="N25" s="4">
        <f>IF(OR(A25="",C25=0),"",D25/C25)</f>
        <v/>
      </c>
      <c r="O25">
        <f>IF(A25="","",IF(N25&lt;0.6,2,0)+IF(E25="Yes",0,2)+IF(G25&lt;30,2,0)+IF(H25&lt;30,1,0)+IF(I25="No",2,IF(I25="Unknown",1,0))+IF(J25="No",2,IF(J25="Unknown",1,0))+IF(K25="Unknown",2,IF(K25="Opt-out",1,0))+IF(L25="No",2,IF(L25="Unknown",1,0))+IF(M25="No",2,IF(M25="Unknown",1,0)))</f>
        <v/>
      </c>
      <c r="P25">
        <f>IF(A25="","",IF(AND(I25="No",M25="No"),"Replace",IF(O25&gt;=8,"Replace",IF(O25&gt;=1,"Renegotiate","Keep"))))</f>
        <v/>
      </c>
    </row>
    <row r="26">
      <c r="B26" s="3" t="n"/>
      <c r="N26" s="4">
        <f>IF(OR(A26="",C26=0),"",D26/C26)</f>
        <v/>
      </c>
      <c r="O26">
        <f>IF(A26="","",IF(N26&lt;0.6,2,0)+IF(E26="Yes",0,2)+IF(G26&lt;30,2,0)+IF(H26&lt;30,1,0)+IF(I26="No",2,IF(I26="Unknown",1,0))+IF(J26="No",2,IF(J26="Unknown",1,0))+IF(K26="Unknown",2,IF(K26="Opt-out",1,0))+IF(L26="No",2,IF(L26="Unknown",1,0))+IF(M26="No",2,IF(M26="Unknown",1,0)))</f>
        <v/>
      </c>
      <c r="P26">
        <f>IF(A26="","",IF(AND(I26="No",M26="No"),"Replace",IF(O26&gt;=8,"Replace",IF(O26&gt;=1,"Renegotiate","Keep"))))</f>
        <v/>
      </c>
    </row>
    <row r="27">
      <c r="B27" s="3" t="n"/>
      <c r="N27" s="4">
        <f>IF(OR(A27="",C27=0),"",D27/C27)</f>
        <v/>
      </c>
      <c r="O27">
        <f>IF(A27="","",IF(N27&lt;0.6,2,0)+IF(E27="Yes",0,2)+IF(G27&lt;30,2,0)+IF(H27&lt;30,1,0)+IF(I27="No",2,IF(I27="Unknown",1,0))+IF(J27="No",2,IF(J27="Unknown",1,0))+IF(K27="Unknown",2,IF(K27="Opt-out",1,0))+IF(L27="No",2,IF(L27="Unknown",1,0))+IF(M27="No",2,IF(M27="Unknown",1,0)))</f>
        <v/>
      </c>
      <c r="P27">
        <f>IF(A27="","",IF(AND(I27="No",M27="No"),"Replace",IF(O27&gt;=8,"Replace",IF(O27&gt;=1,"Renegotiate","Keep"))))</f>
        <v/>
      </c>
    </row>
    <row r="28">
      <c r="B28" s="3" t="n"/>
      <c r="N28" s="4">
        <f>IF(OR(A28="",C28=0),"",D28/C28)</f>
        <v/>
      </c>
      <c r="O28">
        <f>IF(A28="","",IF(N28&lt;0.6,2,0)+IF(E28="Yes",0,2)+IF(G28&lt;30,2,0)+IF(H28&lt;30,1,0)+IF(I28="No",2,IF(I28="Unknown",1,0))+IF(J28="No",2,IF(J28="Unknown",1,0))+IF(K28="Unknown",2,IF(K28="Opt-out",1,0))+IF(L28="No",2,IF(L28="Unknown",1,0))+IF(M28="No",2,IF(M28="Unknown",1,0)))</f>
        <v/>
      </c>
      <c r="P28">
        <f>IF(A28="","",IF(AND(I28="No",M28="No"),"Replace",IF(O28&gt;=8,"Replace",IF(O28&gt;=1,"Renegotiate","Keep"))))</f>
        <v/>
      </c>
    </row>
    <row r="29">
      <c r="B29" s="3" t="n"/>
      <c r="N29" s="4">
        <f>IF(OR(A29="",C29=0),"",D29/C29)</f>
        <v/>
      </c>
      <c r="O29">
        <f>IF(A29="","",IF(N29&lt;0.6,2,0)+IF(E29="Yes",0,2)+IF(G29&lt;30,2,0)+IF(H29&lt;30,1,0)+IF(I29="No",2,IF(I29="Unknown",1,0))+IF(J29="No",2,IF(J29="Unknown",1,0))+IF(K29="Unknown",2,IF(K29="Opt-out",1,0))+IF(L29="No",2,IF(L29="Unknown",1,0))+IF(M29="No",2,IF(M29="Unknown",1,0)))</f>
        <v/>
      </c>
      <c r="P29">
        <f>IF(A29="","",IF(AND(I29="No",M29="No"),"Replace",IF(O29&gt;=8,"Replace",IF(O29&gt;=1,"Renegotiate","Keep"))))</f>
        <v/>
      </c>
    </row>
    <row r="30">
      <c r="B30" s="3" t="n"/>
      <c r="N30" s="4">
        <f>IF(OR(A30="",C30=0),"",D30/C30)</f>
        <v/>
      </c>
      <c r="O30">
        <f>IF(A30="","",IF(N30&lt;0.6,2,0)+IF(E30="Yes",0,2)+IF(G30&lt;30,2,0)+IF(H30&lt;30,1,0)+IF(I30="No",2,IF(I30="Unknown",1,0))+IF(J30="No",2,IF(J30="Unknown",1,0))+IF(K30="Unknown",2,IF(K30="Opt-out",1,0))+IF(L30="No",2,IF(L30="Unknown",1,0))+IF(M30="No",2,IF(M30="Unknown",1,0)))</f>
        <v/>
      </c>
      <c r="P30">
        <f>IF(A30="","",IF(AND(I30="No",M30="No"),"Replace",IF(O30&gt;=8,"Replace",IF(O30&gt;=1,"Renegotiate","Keep"))))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2026-10-28T02:10:10Z</dcterms:created>
  <dcterms:modified xmlns:dcterms="http://purl.org/dc/terms/" xmlns:xsi="http://www.w3.org/2001/XMLSchema-instance" xsi:type="dcterms:W3CDTF">2026-10-28T02:10:10Z</dcterms:modified>
</cp:coreProperties>
</file>