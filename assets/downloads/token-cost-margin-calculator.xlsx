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00"/>
    <numFmt numFmtId="165" formatCode="$#,##0.00"/>
    <numFmt numFmtId="166" formatCode="0.0%"/>
    <numFmt numFmtId="167" formatCode="$#,##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15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7" customWidth="1" min="4" max="4"/>
    <col width="29" customWidth="1" min="5" max="5"/>
    <col width="30" customWidth="1" min="6" max="6"/>
    <col width="24" customWidth="1" min="7" max="7"/>
    <col width="24" customWidth="1" min="8" max="8"/>
    <col width="19" customWidth="1" min="9" max="9"/>
    <col width="14" customWidth="1" min="10" max="10"/>
    <col width="15" customWidth="1" min="11" max="11"/>
    <col width="25" customWidth="1" min="12" max="12"/>
    <col width="14" customWidth="1" min="13" max="13"/>
    <col width="24" customWidth="1" min="14" max="14"/>
  </cols>
  <sheetData>
    <row r="1">
      <c r="A1" s="1" t="inlineStr">
        <is>
          <t>Token cost to gross margin</t>
        </is>
      </c>
    </row>
    <row r="2">
      <c r="A2" t="inlineStr">
        <is>
          <t>Circuit &amp; Capital, circuits.fit. Free to use and adapt. Not legal, tax, insurance or procurement advice.</t>
        </is>
      </c>
    </row>
    <row r="3">
      <c r="A3" t="inlineStr">
        <is>
          <t>Token cost = input tokens/1M x input price + output tokens/1M x output price. Review cost = minutes/60 x loaded hourly cost. Contribution = price - token cost - review cost.</t>
        </is>
      </c>
    </row>
    <row r="5">
      <c r="A5" s="2" t="inlineStr">
        <is>
          <t>Task</t>
        </is>
      </c>
      <c r="B5" s="2" t="inlineStr">
        <is>
          <t>Price charged per task</t>
        </is>
      </c>
      <c r="C5" s="2" t="inlineStr">
        <is>
          <t>Input tokens</t>
        </is>
      </c>
      <c r="D5" s="2" t="inlineStr">
        <is>
          <t>Output tokens</t>
        </is>
      </c>
      <c r="E5" s="2" t="inlineStr">
        <is>
          <t>Price per 1M input tokens</t>
        </is>
      </c>
      <c r="F5" s="2" t="inlineStr">
        <is>
          <t>Price per 1M output tokens</t>
        </is>
      </c>
      <c r="G5" s="2" t="inlineStr">
        <is>
          <t>Human-review minutes</t>
        </is>
      </c>
      <c r="H5" s="2" t="inlineStr">
        <is>
          <t>Loaded cost per hour</t>
        </is>
      </c>
      <c r="I5" s="2" t="inlineStr">
        <is>
          <t>Tasks per month</t>
        </is>
      </c>
      <c r="J5" s="2" t="inlineStr">
        <is>
          <t>Token cost</t>
        </is>
      </c>
      <c r="K5" s="2" t="inlineStr">
        <is>
          <t>Review cost</t>
        </is>
      </c>
      <c r="L5" s="2" t="inlineStr">
        <is>
          <t>Contribution per task</t>
        </is>
      </c>
      <c r="M5" s="2" t="inlineStr">
        <is>
          <t>Margin %</t>
        </is>
      </c>
      <c r="N5" s="2" t="inlineStr">
        <is>
          <t>Monthly contribution</t>
        </is>
      </c>
    </row>
    <row r="6">
      <c r="A6" t="inlineStr">
        <is>
          <t>Support reply draft</t>
        </is>
      </c>
      <c r="B6" t="n">
        <v>1.5</v>
      </c>
      <c r="C6" t="n">
        <v>6000</v>
      </c>
      <c r="D6" t="n">
        <v>800</v>
      </c>
      <c r="E6" t="n">
        <v>3</v>
      </c>
      <c r="F6" t="n">
        <v>15</v>
      </c>
      <c r="G6" t="n">
        <v>2</v>
      </c>
      <c r="H6" t="n">
        <v>60</v>
      </c>
      <c r="I6" t="n">
        <v>10000</v>
      </c>
      <c r="J6" s="3">
        <f>IF(A6="","",C6/1000000*E6+D6/1000000*F6)</f>
        <v/>
      </c>
      <c r="K6" s="4">
        <f>IF(A6="","",G6/60*H6)</f>
        <v/>
      </c>
      <c r="L6" s="4">
        <f>IF(A6="","",B6-J6-K6)</f>
        <v/>
      </c>
      <c r="M6" s="5">
        <f>IF(OR(A6="",B6=0),"",L6/B6)</f>
        <v/>
      </c>
      <c r="N6" s="6">
        <f>IF(OR(A6="",I6=""),"",L6*I6)</f>
        <v/>
      </c>
    </row>
    <row r="7">
      <c r="A7" t="inlineStr">
        <is>
          <t>Contract summary</t>
        </is>
      </c>
      <c r="B7" t="n">
        <v>12</v>
      </c>
      <c r="C7" t="n">
        <v>40000</v>
      </c>
      <c r="D7" t="n">
        <v>3000</v>
      </c>
      <c r="E7" t="n">
        <v>3</v>
      </c>
      <c r="F7" t="n">
        <v>15</v>
      </c>
      <c r="G7" t="n">
        <v>10</v>
      </c>
      <c r="H7" t="n">
        <v>90</v>
      </c>
      <c r="I7" t="n">
        <v>500</v>
      </c>
      <c r="J7" s="3">
        <f>IF(A7="","",C7/1000000*E7+D7/1000000*F7)</f>
        <v/>
      </c>
      <c r="K7" s="4">
        <f>IF(A7="","",G7/60*H7)</f>
        <v/>
      </c>
      <c r="L7" s="4">
        <f>IF(A7="","",B7-J7-K7)</f>
        <v/>
      </c>
      <c r="M7" s="5">
        <f>IF(OR(A7="",B7=0),"",L7/B7)</f>
        <v/>
      </c>
      <c r="N7" s="6">
        <f>IF(OR(A7="",I7=""),"",L7*I7)</f>
        <v/>
      </c>
    </row>
    <row r="8">
      <c r="J8" s="3">
        <f>IF(A8="","",C8/1000000*E8+D8/1000000*F8)</f>
        <v/>
      </c>
      <c r="K8" s="4">
        <f>IF(A8="","",G8/60*H8)</f>
        <v/>
      </c>
      <c r="L8" s="4">
        <f>IF(A8="","",B8-J8-K8)</f>
        <v/>
      </c>
      <c r="M8" s="5">
        <f>IF(OR(A8="",B8=0),"",L8/B8)</f>
        <v/>
      </c>
      <c r="N8" s="6">
        <f>IF(OR(A8="",I8=""),"",L8*I8)</f>
        <v/>
      </c>
    </row>
    <row r="9">
      <c r="J9" s="3">
        <f>IF(A9="","",C9/1000000*E9+D9/1000000*F9)</f>
        <v/>
      </c>
      <c r="K9" s="4">
        <f>IF(A9="","",G9/60*H9)</f>
        <v/>
      </c>
      <c r="L9" s="4">
        <f>IF(A9="","",B9-J9-K9)</f>
        <v/>
      </c>
      <c r="M9" s="5">
        <f>IF(OR(A9="",B9=0),"",L9/B9)</f>
        <v/>
      </c>
      <c r="N9" s="6">
        <f>IF(OR(A9="",I9=""),"",L9*I9)</f>
        <v/>
      </c>
    </row>
    <row r="10">
      <c r="J10" s="3">
        <f>IF(A10="","",C10/1000000*E10+D10/1000000*F10)</f>
        <v/>
      </c>
      <c r="K10" s="4">
        <f>IF(A10="","",G10/60*H10)</f>
        <v/>
      </c>
      <c r="L10" s="4">
        <f>IF(A10="","",B10-J10-K10)</f>
        <v/>
      </c>
      <c r="M10" s="5">
        <f>IF(OR(A10="",B10=0),"",L10/B10)</f>
        <v/>
      </c>
      <c r="N10" s="6">
        <f>IF(OR(A10="",I10=""),"",L10*I10)</f>
        <v/>
      </c>
    </row>
    <row r="11">
      <c r="J11" s="3">
        <f>IF(A11="","",C11/1000000*E11+D11/1000000*F11)</f>
        <v/>
      </c>
      <c r="K11" s="4">
        <f>IF(A11="","",G11/60*H11)</f>
        <v/>
      </c>
      <c r="L11" s="4">
        <f>IF(A11="","",B11-J11-K11)</f>
        <v/>
      </c>
      <c r="M11" s="5">
        <f>IF(OR(A11="",B11=0),"",L11/B11)</f>
        <v/>
      </c>
      <c r="N11" s="6">
        <f>IF(OR(A11="",I11=""),"",L11*I11)</f>
        <v/>
      </c>
    </row>
    <row r="12">
      <c r="J12" s="3">
        <f>IF(A12="","",C12/1000000*E12+D12/1000000*F12)</f>
        <v/>
      </c>
      <c r="K12" s="4">
        <f>IF(A12="","",G12/60*H12)</f>
        <v/>
      </c>
      <c r="L12" s="4">
        <f>IF(A12="","",B12-J12-K12)</f>
        <v/>
      </c>
      <c r="M12" s="5">
        <f>IF(OR(A12="",B12=0),"",L12/B12)</f>
        <v/>
      </c>
      <c r="N12" s="6">
        <f>IF(OR(A12="",I12=""),"",L12*I12)</f>
        <v/>
      </c>
    </row>
    <row r="13">
      <c r="J13" s="3">
        <f>IF(A13="","",C13/1000000*E13+D13/1000000*F13)</f>
        <v/>
      </c>
      <c r="K13" s="4">
        <f>IF(A13="","",G13/60*H13)</f>
        <v/>
      </c>
      <c r="L13" s="4">
        <f>IF(A13="","",B13-J13-K13)</f>
        <v/>
      </c>
      <c r="M13" s="5">
        <f>IF(OR(A13="",B13=0),"",L13/B13)</f>
        <v/>
      </c>
      <c r="N13" s="6">
        <f>IF(OR(A13="",I13=""),"",L13*I13)</f>
        <v/>
      </c>
    </row>
    <row r="14">
      <c r="J14" s="3">
        <f>IF(A14="","",C14/1000000*E14+D14/1000000*F14)</f>
        <v/>
      </c>
      <c r="K14" s="4">
        <f>IF(A14="","",G14/60*H14)</f>
        <v/>
      </c>
      <c r="L14" s="4">
        <f>IF(A14="","",B14-J14-K14)</f>
        <v/>
      </c>
      <c r="M14" s="5">
        <f>IF(OR(A14="",B14=0),"",L14/B14)</f>
        <v/>
      </c>
      <c r="N14" s="6">
        <f>IF(OR(A14="",I14=""),"",L14*I14)</f>
        <v/>
      </c>
    </row>
    <row r="15">
      <c r="J15" s="3">
        <f>IF(A15="","",C15/1000000*E15+D15/1000000*F15)</f>
        <v/>
      </c>
      <c r="K15" s="4">
        <f>IF(A15="","",G15/60*H15)</f>
        <v/>
      </c>
      <c r="L15" s="4">
        <f>IF(A15="","",B15-J15-K15)</f>
        <v/>
      </c>
      <c r="M15" s="5">
        <f>IF(OR(A15="",B15=0),"",L15/B15)</f>
        <v/>
      </c>
      <c r="N15" s="6">
        <f>IF(OR(A15="",I15=""),"",L15*I15)</f>
        <v/>
      </c>
    </row>
    <row r="16">
      <c r="J16" s="3">
        <f>IF(A16="","",C16/1000000*E16+D16/1000000*F16)</f>
        <v/>
      </c>
      <c r="K16" s="4">
        <f>IF(A16="","",G16/60*H16)</f>
        <v/>
      </c>
      <c r="L16" s="4">
        <f>IF(A16="","",B16-J16-K16)</f>
        <v/>
      </c>
      <c r="M16" s="5">
        <f>IF(OR(A16="",B16=0),"",L16/B16)</f>
        <v/>
      </c>
      <c r="N16" s="6">
        <f>IF(OR(A16="",I16=""),"",L16*I16)</f>
        <v/>
      </c>
    </row>
    <row r="17">
      <c r="J17" s="3">
        <f>IF(A17="","",C17/1000000*E17+D17/1000000*F17)</f>
        <v/>
      </c>
      <c r="K17" s="4">
        <f>IF(A17="","",G17/60*H17)</f>
        <v/>
      </c>
      <c r="L17" s="4">
        <f>IF(A17="","",B17-J17-K17)</f>
        <v/>
      </c>
      <c r="M17" s="5">
        <f>IF(OR(A17="",B17=0),"",L17/B17)</f>
        <v/>
      </c>
      <c r="N17" s="6">
        <f>IF(OR(A17="",I17=""),"",L17*I17)</f>
        <v/>
      </c>
    </row>
    <row r="18">
      <c r="J18" s="3">
        <f>IF(A18="","",C18/1000000*E18+D18/1000000*F18)</f>
        <v/>
      </c>
      <c r="K18" s="4">
        <f>IF(A18="","",G18/60*H18)</f>
        <v/>
      </c>
      <c r="L18" s="4">
        <f>IF(A18="","",B18-J18-K18)</f>
        <v/>
      </c>
      <c r="M18" s="5">
        <f>IF(OR(A18="",B18=0),"",L18/B18)</f>
        <v/>
      </c>
      <c r="N18" s="6">
        <f>IF(OR(A18="",I18=""),"",L18*I18)</f>
        <v/>
      </c>
    </row>
    <row r="19">
      <c r="J19" s="3">
        <f>IF(A19="","",C19/1000000*E19+D19/1000000*F19)</f>
        <v/>
      </c>
      <c r="K19" s="4">
        <f>IF(A19="","",G19/60*H19)</f>
        <v/>
      </c>
      <c r="L19" s="4">
        <f>IF(A19="","",B19-J19-K19)</f>
        <v/>
      </c>
      <c r="M19" s="5">
        <f>IF(OR(A19="",B19=0),"",L19/B19)</f>
        <v/>
      </c>
      <c r="N19" s="6">
        <f>IF(OR(A19="",I19=""),"",L19*I19)</f>
        <v/>
      </c>
    </row>
    <row r="20">
      <c r="J20" s="3">
        <f>IF(A20="","",C20/1000000*E20+D20/1000000*F20)</f>
        <v/>
      </c>
      <c r="K20" s="4">
        <f>IF(A20="","",G20/60*H20)</f>
        <v/>
      </c>
      <c r="L20" s="4">
        <f>IF(A20="","",B20-J20-K20)</f>
        <v/>
      </c>
      <c r="M20" s="5">
        <f>IF(OR(A20="",B20=0),"",L20/B20)</f>
        <v/>
      </c>
      <c r="N20" s="6">
        <f>IF(OR(A20="",I20=""),"",L20*I20)</f>
        <v/>
      </c>
    </row>
    <row r="21">
      <c r="J21" s="3">
        <f>IF(A21="","",C21/1000000*E21+D21/1000000*F21)</f>
        <v/>
      </c>
      <c r="K21" s="4">
        <f>IF(A21="","",G21/60*H21)</f>
        <v/>
      </c>
      <c r="L21" s="4">
        <f>IF(A21="","",B21-J21-K21)</f>
        <v/>
      </c>
      <c r="M21" s="5">
        <f>IF(OR(A21="",B21=0),"",L21/B21)</f>
        <v/>
      </c>
      <c r="N21" s="6">
        <f>IF(OR(A21="",I21=""),"",L21*I21)</f>
        <v/>
      </c>
    </row>
    <row r="22">
      <c r="J22" s="3">
        <f>IF(A22="","",C22/1000000*E22+D22/1000000*F22)</f>
        <v/>
      </c>
      <c r="K22" s="4">
        <f>IF(A22="","",G22/60*H22)</f>
        <v/>
      </c>
      <c r="L22" s="4">
        <f>IF(A22="","",B22-J22-K22)</f>
        <v/>
      </c>
      <c r="M22" s="5">
        <f>IF(OR(A22="",B22=0),"",L22/B22)</f>
        <v/>
      </c>
      <c r="N22" s="6">
        <f>IF(OR(A22="",I22=""),"",L22*I22)</f>
        <v/>
      </c>
    </row>
    <row r="23">
      <c r="J23" s="3">
        <f>IF(A23="","",C23/1000000*E23+D23/1000000*F23)</f>
        <v/>
      </c>
      <c r="K23" s="4">
        <f>IF(A23="","",G23/60*H23)</f>
        <v/>
      </c>
      <c r="L23" s="4">
        <f>IF(A23="","",B23-J23-K23)</f>
        <v/>
      </c>
      <c r="M23" s="5">
        <f>IF(OR(A23="",B23=0),"",L23/B23)</f>
        <v/>
      </c>
      <c r="N23" s="6">
        <f>IF(OR(A23="",I23=""),"",L23*I23)</f>
        <v/>
      </c>
    </row>
    <row r="24">
      <c r="J24" s="3">
        <f>IF(A24="","",C24/1000000*E24+D24/1000000*F24)</f>
        <v/>
      </c>
      <c r="K24" s="4">
        <f>IF(A24="","",G24/60*H24)</f>
        <v/>
      </c>
      <c r="L24" s="4">
        <f>IF(A24="","",B24-J24-K24)</f>
        <v/>
      </c>
      <c r="M24" s="5">
        <f>IF(OR(A24="",B24=0),"",L24/B24)</f>
        <v/>
      </c>
      <c r="N24" s="6">
        <f>IF(OR(A24="",I24=""),"",L24*I24)</f>
        <v/>
      </c>
    </row>
    <row r="25">
      <c r="J25" s="3">
        <f>IF(A25="","",C25/1000000*E25+D25/1000000*F25)</f>
        <v/>
      </c>
      <c r="K25" s="4">
        <f>IF(A25="","",G25/60*H25)</f>
        <v/>
      </c>
      <c r="L25" s="4">
        <f>IF(A25="","",B25-J25-K25)</f>
        <v/>
      </c>
      <c r="M25" s="5">
        <f>IF(OR(A25="",B25=0),"",L25/B25)</f>
        <v/>
      </c>
      <c r="N25" s="6">
        <f>IF(OR(A25="",I25=""),"",L25*I25)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2026-10-28T02:10:10Z</dcterms:created>
  <dcterms:modified xmlns:dcterms="http://purl.org/dc/terms/" xmlns:xsi="http://www.w3.org/2001/XMLSchema-instance" xsi:type="dcterms:W3CDTF">2026-10-28T02:10:10Z</dcterms:modified>
</cp:coreProperties>
</file>