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finished task" sheetId="1" state="visible" r:id="rId1"/>
    <sheet xmlns:r="http://schemas.openxmlformats.org/officeDocument/2006/relationships" name="Self-host break-ev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15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8" customWidth="1" min="4" max="4"/>
    <col width="29" customWidth="1" min="5" max="5"/>
    <col width="18" customWidth="1" min="6" max="6"/>
    <col width="19" customWidth="1" min="7" max="7"/>
    <col width="31" customWidth="1" min="8" max="8"/>
    <col width="22" customWidth="1" min="9" max="9"/>
    <col width="23" customWidth="1" min="10" max="10"/>
    <col width="25" customWidth="1" min="11" max="11"/>
    <col width="26" customWidth="1" min="12" max="12"/>
    <col width="32" customWidth="1" min="13" max="13"/>
  </cols>
  <sheetData>
    <row r="1">
      <c r="A1" s="1" t="inlineStr">
        <is>
          <t>AI model cost per finished task</t>
        </is>
      </c>
    </row>
    <row r="2">
      <c r="A2" t="inlineStr">
        <is>
          <t>Circuit &amp; Capital, circuits.fit. Free to use and adapt. Not legal, tax, insurance or procurement advice.</t>
        </is>
      </c>
    </row>
    <row r="3">
      <c r="A3" t="inlineStr">
        <is>
          <t>Cost of one attempt = in tokens/1M x in price + out tokens/1M x out price. Attempts = 1 + retries. Cost per finished task = (attempts x attempt cost + (1 - success) x review minutes/60 x hourly) / success.</t>
        </is>
      </c>
    </row>
    <row r="5">
      <c r="A5" s="2" t="inlineStr">
        <is>
          <t>Model</t>
        </is>
      </c>
      <c r="B5" s="2" t="inlineStr">
        <is>
          <t>Price per 1M input</t>
        </is>
      </c>
      <c r="C5" s="2" t="inlineStr">
        <is>
          <t>Price per 1M output</t>
        </is>
      </c>
      <c r="D5" s="2" t="inlineStr">
        <is>
          <t>Input tokens per attempt</t>
        </is>
      </c>
      <c r="E5" s="2" t="inlineStr">
        <is>
          <t>Output tokens per attempt</t>
        </is>
      </c>
      <c r="F5" s="2" t="inlineStr">
        <is>
          <t>Success rate %</t>
        </is>
      </c>
      <c r="G5" s="2" t="inlineStr">
        <is>
          <t>Average retries</t>
        </is>
      </c>
      <c r="H5" s="2" t="inlineStr">
        <is>
          <t>Review minutes on a failure</t>
        </is>
      </c>
      <c r="I5" s="2" t="inlineStr">
        <is>
          <t>Review hourly rate</t>
        </is>
      </c>
      <c r="J5" s="2" t="inlineStr">
        <is>
          <t>Cost of one attempt</t>
        </is>
      </c>
      <c r="K5" s="2" t="inlineStr">
        <is>
          <t>Cost per started task</t>
        </is>
      </c>
      <c r="L5" s="2" t="inlineStr">
        <is>
          <t>Cost per finished task</t>
        </is>
      </c>
      <c r="M5" s="2" t="inlineStr">
        <is>
          <t>Cost per 1,000 started tasks</t>
        </is>
      </c>
    </row>
    <row r="6">
      <c r="A6" t="inlineStr">
        <is>
          <t>Model A (cheaper list price)</t>
        </is>
      </c>
      <c r="B6" t="n">
        <v>0.5</v>
      </c>
      <c r="C6" t="n">
        <v>1.5</v>
      </c>
      <c r="D6" t="n">
        <v>4000</v>
      </c>
      <c r="E6" t="n">
        <v>600</v>
      </c>
      <c r="F6" t="n">
        <v>70</v>
      </c>
      <c r="G6" t="n">
        <v>1</v>
      </c>
      <c r="H6" t="n">
        <v>6</v>
      </c>
      <c r="I6" t="n">
        <v>60</v>
      </c>
      <c r="J6" s="3">
        <f>IF(A6="","",D6/1000000*B6+E6/1000000*C6)</f>
        <v/>
      </c>
      <c r="K6" s="3">
        <f>IF(A6="","",(1+G6)*J6+(1-F6/100)*H6/60*I6)</f>
        <v/>
      </c>
      <c r="L6" s="3">
        <f>IF(OR(A6="",F6=0),"",K6/(F6/100))</f>
        <v/>
      </c>
      <c r="M6" s="4">
        <f>IF(A6="","",K6*1000)</f>
        <v/>
      </c>
    </row>
    <row r="7">
      <c r="A7" t="inlineStr">
        <is>
          <t>Model B</t>
        </is>
      </c>
      <c r="B7" t="n">
        <v>3</v>
      </c>
      <c r="C7" t="n">
        <v>15</v>
      </c>
      <c r="D7" t="n">
        <v>4000</v>
      </c>
      <c r="E7" t="n">
        <v>600</v>
      </c>
      <c r="F7" t="n">
        <v>95</v>
      </c>
      <c r="G7" t="n">
        <v>0</v>
      </c>
      <c r="H7" t="n">
        <v>6</v>
      </c>
      <c r="I7" t="n">
        <v>60</v>
      </c>
      <c r="J7" s="3">
        <f>IF(A7="","",D7/1000000*B7+E7/1000000*C7)</f>
        <v/>
      </c>
      <c r="K7" s="3">
        <f>IF(A7="","",(1+G7)*J7+(1-F7/100)*H7/60*I7)</f>
        <v/>
      </c>
      <c r="L7" s="3">
        <f>IF(OR(A7="",F7=0),"",K7/(F7/100))</f>
        <v/>
      </c>
      <c r="M7" s="4">
        <f>IF(A7="","",K7*1000)</f>
        <v/>
      </c>
    </row>
    <row r="8">
      <c r="J8" s="3">
        <f>IF(A8="","",D8/1000000*B8+E8/1000000*C8)</f>
        <v/>
      </c>
      <c r="K8" s="3">
        <f>IF(A8="","",(1+G8)*J8+(1-F8/100)*H8/60*I8)</f>
        <v/>
      </c>
      <c r="L8" s="3">
        <f>IF(OR(A8="",F8=0),"",K8/(F8/100))</f>
        <v/>
      </c>
      <c r="M8" s="4">
        <f>IF(A8="","",K8*1000)</f>
        <v/>
      </c>
    </row>
    <row r="9">
      <c r="J9" s="3">
        <f>IF(A9="","",D9/1000000*B9+E9/1000000*C9)</f>
        <v/>
      </c>
      <c r="K9" s="3">
        <f>IF(A9="","",(1+G9)*J9+(1-F9/100)*H9/60*I9)</f>
        <v/>
      </c>
      <c r="L9" s="3">
        <f>IF(OR(A9="",F9=0),"",K9/(F9/100))</f>
        <v/>
      </c>
      <c r="M9" s="4">
        <f>IF(A9="","",K9*1000)</f>
        <v/>
      </c>
    </row>
    <row r="10">
      <c r="J10" s="3">
        <f>IF(A10="","",D10/1000000*B10+E10/1000000*C10)</f>
        <v/>
      </c>
      <c r="K10" s="3">
        <f>IF(A10="","",(1+G10)*J10+(1-F10/100)*H10/60*I10)</f>
        <v/>
      </c>
      <c r="L10" s="3">
        <f>IF(OR(A10="",F10=0),"",K10/(F10/100))</f>
        <v/>
      </c>
      <c r="M10" s="4">
        <f>IF(A10="","",K10*1000)</f>
        <v/>
      </c>
    </row>
    <row r="11">
      <c r="J11" s="3">
        <f>IF(A11="","",D11/1000000*B11+E11/1000000*C11)</f>
        <v/>
      </c>
      <c r="K11" s="3">
        <f>IF(A11="","",(1+G11)*J11+(1-F11/100)*H11/60*I11)</f>
        <v/>
      </c>
      <c r="L11" s="3">
        <f>IF(OR(A11="",F11=0),"",K11/(F11/100))</f>
        <v/>
      </c>
      <c r="M11" s="4">
        <f>IF(A11="","",K11*1000)</f>
        <v/>
      </c>
    </row>
    <row r="12">
      <c r="J12" s="3">
        <f>IF(A12="","",D12/1000000*B12+E12/1000000*C12)</f>
        <v/>
      </c>
      <c r="K12" s="3">
        <f>IF(A12="","",(1+G12)*J12+(1-F12/100)*H12/60*I12)</f>
        <v/>
      </c>
      <c r="L12" s="3">
        <f>IF(OR(A12="",F12=0),"",K12/(F12/100))</f>
        <v/>
      </c>
      <c r="M12" s="4">
        <f>IF(A12="","",K12*1000)</f>
        <v/>
      </c>
    </row>
    <row r="13">
      <c r="J13" s="3">
        <f>IF(A13="","",D13/1000000*B13+E13/1000000*C13)</f>
        <v/>
      </c>
      <c r="K13" s="3">
        <f>IF(A13="","",(1+G13)*J13+(1-F13/100)*H13/60*I13)</f>
        <v/>
      </c>
      <c r="L13" s="3">
        <f>IF(OR(A13="",F13=0),"",K13/(F13/100))</f>
        <v/>
      </c>
      <c r="M13" s="4">
        <f>IF(A13="","",K13*1000)</f>
        <v/>
      </c>
    </row>
    <row r="14">
      <c r="J14" s="3">
        <f>IF(A14="","",D14/1000000*B14+E14/1000000*C14)</f>
        <v/>
      </c>
      <c r="K14" s="3">
        <f>IF(A14="","",(1+G14)*J14+(1-F14/100)*H14/60*I14)</f>
        <v/>
      </c>
      <c r="L14" s="3">
        <f>IF(OR(A14="",F14=0),"",K14/(F14/100))</f>
        <v/>
      </c>
      <c r="M14" s="4">
        <f>IF(A14="","",K14*1000)</f>
        <v/>
      </c>
    </row>
    <row r="15">
      <c r="J15" s="3">
        <f>IF(A15="","",D15/1000000*B15+E15/1000000*C15)</f>
        <v/>
      </c>
      <c r="K15" s="3">
        <f>IF(A15="","",(1+G15)*J15+(1-F15/100)*H15/60*I15)</f>
        <v/>
      </c>
      <c r="L15" s="3">
        <f>IF(OR(A15="",F15=0),"",K15/(F15/100))</f>
        <v/>
      </c>
      <c r="M15" s="4">
        <f>IF(A15="","",K15*1000)</f>
        <v/>
      </c>
    </row>
    <row r="16">
      <c r="J16" s="3">
        <f>IF(A16="","",D16/1000000*B16+E16/1000000*C16)</f>
        <v/>
      </c>
      <c r="K16" s="3">
        <f>IF(A16="","",(1+G16)*J16+(1-F16/100)*H16/60*I16)</f>
        <v/>
      </c>
      <c r="L16" s="3">
        <f>IF(OR(A16="",F16=0),"",K16/(F16/100))</f>
        <v/>
      </c>
      <c r="M16" s="4">
        <f>IF(A16="","",K16*1000)</f>
        <v/>
      </c>
    </row>
    <row r="17">
      <c r="J17" s="3">
        <f>IF(A17="","",D17/1000000*B17+E17/1000000*C17)</f>
        <v/>
      </c>
      <c r="K17" s="3">
        <f>IF(A17="","",(1+G17)*J17+(1-F17/100)*H17/60*I17)</f>
        <v/>
      </c>
      <c r="L17" s="3">
        <f>IF(OR(A17="",F17=0),"",K17/(F17/100))</f>
        <v/>
      </c>
      <c r="M17" s="4">
        <f>IF(A17="","",K17*1000)</f>
        <v/>
      </c>
    </row>
    <row r="18">
      <c r="J18" s="3">
        <f>IF(A18="","",D18/1000000*B18+E18/1000000*C18)</f>
        <v/>
      </c>
      <c r="K18" s="3">
        <f>IF(A18="","",(1+G18)*J18+(1-F18/100)*H18/60*I18)</f>
        <v/>
      </c>
      <c r="L18" s="3">
        <f>IF(OR(A18="",F18=0),"",K18/(F18/100))</f>
        <v/>
      </c>
      <c r="M18" s="4">
        <f>IF(A18="","",K18*1000)</f>
        <v/>
      </c>
    </row>
    <row r="19">
      <c r="J19" s="3">
        <f>IF(A19="","",D19/1000000*B19+E19/1000000*C19)</f>
        <v/>
      </c>
      <c r="K19" s="3">
        <f>IF(A19="","",(1+G19)*J19+(1-F19/100)*H19/60*I19)</f>
        <v/>
      </c>
      <c r="L19" s="3">
        <f>IF(OR(A19="",F19=0),"",K19/(F19/100))</f>
        <v/>
      </c>
      <c r="M19" s="4">
        <f>IF(A19="","",K19*1000)</f>
        <v/>
      </c>
    </row>
    <row r="20">
      <c r="J20" s="3">
        <f>IF(A20="","",D20/1000000*B20+E20/1000000*C20)</f>
        <v/>
      </c>
      <c r="K20" s="3">
        <f>IF(A20="","",(1+G20)*J20+(1-F20/100)*H20/60*I20)</f>
        <v/>
      </c>
      <c r="L20" s="3">
        <f>IF(OR(A20="",F20=0),"",K20/(F20/100))</f>
        <v/>
      </c>
      <c r="M20" s="4">
        <f>IF(A20="","",K20*1000)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</cols>
  <sheetData>
    <row r="1">
      <c r="A1" s="1" t="inlineStr">
        <is>
          <t>Self-host vs API break-even (a month is 30 days)</t>
        </is>
      </c>
    </row>
    <row r="3">
      <c r="A3" t="inlineStr">
        <is>
          <t>Monthly GPU or server cost</t>
        </is>
      </c>
      <c r="B3" t="n">
        <v>4000</v>
      </c>
    </row>
    <row r="4">
      <c r="A4" t="inlineStr">
        <is>
          <t>Ops hours per month</t>
        </is>
      </c>
      <c r="B4" t="n">
        <v>20</v>
      </c>
    </row>
    <row r="5">
      <c r="A5" t="inlineStr">
        <is>
          <t>Ops hourly rate</t>
        </is>
      </c>
      <c r="B5" t="n">
        <v>90</v>
      </c>
    </row>
    <row r="6">
      <c r="A6" t="inlineStr">
        <is>
          <t>Self-host throughput, tokens per day</t>
        </is>
      </c>
      <c r="B6" t="n">
        <v>200000000</v>
      </c>
    </row>
    <row r="7">
      <c r="A7" t="inlineStr">
        <is>
          <t>API blended price per 1M tokens</t>
        </is>
      </c>
      <c r="B7" t="n">
        <v>2</v>
      </c>
    </row>
    <row r="9">
      <c r="A9" t="inlineStr">
        <is>
          <t>Monthly self-host cost</t>
        </is>
      </c>
      <c r="B9">
        <f>B3+B4*B5</f>
        <v/>
      </c>
    </row>
    <row r="10">
      <c r="A10" t="inlineStr">
        <is>
          <t>Break-even tokens per day</t>
        </is>
      </c>
      <c r="B10" s="5">
        <f>B9*1000000/(B7*30)</f>
        <v/>
      </c>
    </row>
    <row r="11">
      <c r="A11" t="inlineStr">
        <is>
          <t>Server can carry break-even volume?</t>
        </is>
      </c>
      <c r="B11">
        <f>IF(B6&gt;=B10,"Yes","No: API costs less at any volume the server can carry")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2026-10-28T02:10:10Z</dcterms:created>
  <dcterms:modified xmlns:dcterms="http://purl.org/dc/terms/" xmlns:xsi="http://www.w3.org/2001/XMLSchema-instance" xsi:type="dcterms:W3CDTF">2026-10-28T02:10:10Z</dcterms:modified>
</cp:coreProperties>
</file>